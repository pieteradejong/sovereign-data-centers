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d15bdaf34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cc70a7e73b4451a"/>
    <x:sheet xmlns:r="http://schemas.openxmlformats.org/officeDocument/2006/relationships" name="Assumptions" sheetId="2" r:id="Re2e6b228d2d442e3"/>
    <x:sheet xmlns:r="http://schemas.openxmlformats.org/officeDocument/2006/relationships" name="Workloads" sheetId="3" r:id="R32a89daade03409f"/>
    <x:sheet xmlns:r="http://schemas.openxmlformats.org/officeDocument/2006/relationships" name="Facility Summary" sheetId="4" r:id="Rd2085b793dfc4b9f"/>
    <x:sheet xmlns:r="http://schemas.openxmlformats.org/officeDocument/2006/relationships" name="Region Allocation" sheetId="5" r:id="R19797d45575f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x"/>
    <x:numFmt numFmtId="202" formatCode="0.0"/>
    <x:numFmt numFmtId="203" formatCode="0.00"/>
    <x:numFmt numFmtId="204" formatCode="€#,##0.0;[Red](€#,##0.0);-"/>
    <x:numFmt numFmtId="205" formatCode="#,##0"/>
    <x:numFmt numFmtId="206" formatCode="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6" fontId="4" fillId="0" borderId="0" xfId="0" applyNumberFormat="1" applyFont="1" applyFill="1" applyBorder="1"/>
    <x:xf numFmtId="206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fb1c8a1eb411f" /><Relationship Type="http://schemas.openxmlformats.org/officeDocument/2006/relationships/theme" Target="/xl/theme/theme1.xml" Id="Re1c59ccd09bb40c4" /><Relationship Type="http://schemas.openxmlformats.org/officeDocument/2006/relationships/sharedStrings" Target="/xl/sharedStrings.xml" Id="R267c812465f141ce" /><Relationship Type="http://schemas.openxmlformats.org/officeDocument/2006/relationships/worksheet" Target="/xl/worksheets/sheet1.xml" Id="Rfcc70a7e73b4451a" /><Relationship Type="http://schemas.openxmlformats.org/officeDocument/2006/relationships/worksheet" Target="/xl/worksheets/sheet2.xml" Id="Re2e6b228d2d442e3" /><Relationship Type="http://schemas.openxmlformats.org/officeDocument/2006/relationships/worksheet" Target="/xl/worksheets/sheet3.xml" Id="R32a89daade03409f" /><Relationship Type="http://schemas.openxmlformats.org/officeDocument/2006/relationships/worksheet" Target="/xl/worksheets/sheet4.xml" Id="Rd2085b793dfc4b9f" /><Relationship Type="http://schemas.openxmlformats.org/officeDocument/2006/relationships/worksheet" Target="/xl/worksheets/sheet5.xml" Id="R19797d45575f4e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46fa2c326a46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CAPEX by Component (EUR mm)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'Facility Summary'!$A$16:$A$20</c:f>
              <c:strCache>
                <c:ptCount val="0"/>
              </c:strCache>
            </c:strRef>
          </c:cat>
          <c:val>
            <c:numRef>
              <c:f>'Facility Summary'!$B$16:$B$20</c:f>
              <c:numCache>
                <c:formatCode>€#,##0.0;[Red](€#,##0.0);-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46fa2c326a46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umptionsTable" displayName="AssumptionsTable" ref="A3:F25" headerRowCount="1" totalsRowCount="0" totalsRowShown="0">
  <x:tableColumns count="6">
    <x:tableColumn id="1" name="Category"/>
    <x:tableColumn id="2" name="Assumption"/>
    <x:tableColumn id="3" name="Value"/>
    <x:tableColumn id="4" name="Unit"/>
    <x:tableColumn id="5" name="Source / Status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loadsTable" displayName="WorkloadsTable" ref="A3:M10" headerRowCount="1" totalsRowCount="0" totalsRowShown="0">
  <x:tableColumns count="13">
    <x:tableColumn id="1" name="Workload"/>
    <x:tableColumn id="2" name="Class"/>
    <x:tableColumn id="3" name="CPU cores required"/>
    <x:tableColumn id="4" name="GPU eq. required"/>
    <x:tableColumn id="5" name="Logical storage (PB)"/>
    <x:tableColumn id="6" name="Availability factor"/>
    <x:tableColumn id="7" name="CPU servers"/>
    <x:tableColumn id="8" name="GPU servers"/>
    <x:tableColumn id="9" name="Storage servers"/>
    <x:tableColumn id="10" name="Total servers"/>
    <x:tableColumn id="11" name="Rack equivalents"/>
    <x:tableColumn id="12" name="Server IT power (MW)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ilitySummaryTable" displayName="FacilitySummaryTable" ref="A3:F25" headerRowCount="1" totalsRowCount="0" totalsRowShown="0">
  <x:tableColumns count="6">
    <x:tableColumn id="1" name="Metric"/>
    <x:tableColumn id="2" name="Value"/>
    <x:tableColumn id="3" name="Unit"/>
    <x:tableColumn id="4" name="Formula / Driver"/>
    <x:tableColumn id="5" name="Interpretation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AllocationTable" displayName="RegionAllocationTable" ref="A3:H8" headerRowCount="1" totalsRowCount="0" totalsRowShown="0">
  <x:tableColumns count="8">
    <x:tableColumn id="1" name="Region"/>
    <x:tableColumn id="2" name="Role"/>
    <x:tableColumn id="3" name="Share of design load"/>
    <x:tableColumn id="4" name="Design MW"/>
    <x:tableColumn id="5" name="Estimated racks"/>
    <x:tableColumn id="6" name="Indicative facility CAPEX (EUR mm)"/>
    <x:tableColumn id="7" name="Resilience rol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333785947f48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ac58efbede40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3b94c53e3154f54" /><Relationship Type="http://schemas.openxmlformats.org/officeDocument/2006/relationships/table" Target="/xl/tables/table3.xml" Id="R8b729c89048146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26eb4293784a7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26" customHeight="1">
      <x:c r="A1" s="6" t="str">
        <x:v>Dutch Sovereign Data Center Capacity Model</x:v>
      </x:c>
      <x:c r="B1" s="6"/>
      <x:c r="C1" s="6"/>
      <x:c r="D1" s="6"/>
      <x:c r="E1" s="6"/>
      <x:c r="F1" s="6"/>
      <x:c r="G1" s="6"/>
      <x:c r="H1" s="6"/>
    </x:row>
    <x:row r="3">
      <x:c r="A3" s="10" t="str">
        <x:v>Purpose</x:v>
      </x:c>
      <x:c r="B3" s="11" t="str">
        <x:v>Portable planning model converting workloads into compute, storage, servers, racks, power, site count, CAPEX, and OPEX.</x:v>
      </x:c>
    </x:row>
    <x:row r="4">
      <x:c r="A4" s="10" t="str">
        <x:v>Model philosophy</x:v>
      </x:c>
      <x:c r="B4" s="11" t="str">
        <x:v>Major assumptions are centralized. Derived values use formulas. CSV exports preserve simple portable inputs.</x:v>
      </x:c>
    </x:row>
    <x:row r="5">
      <x:c r="A5" s="10" t="str">
        <x:v>Primary flow</x:v>
      </x:c>
      <x:c r="B5" s="11" t="str">
        <x:v>Workloads → CPU/GPU/storage demand → physical servers → racks → IT MW → facility MW → sites → CAPEX/OPEX.</x:v>
      </x:c>
    </x:row>
    <x:row r="6">
      <x:c r="A6" s="10" t="str">
        <x:v>Units</x:v>
      </x:c>
      <x:c r="B6" s="11" t="str">
        <x:v>CPU cores, GPU equivalents, PB, kW/MW, and EUR millions.</x:v>
      </x:c>
    </x:row>
    <x:row r="7">
      <x:c r="A7" s="10" t="str">
        <x:v>Scenario use</x:v>
      </x:c>
      <x:c r="B7" s="11" t="str">
        <x:v>Change blue-font inputs on Assumptions, Workloads, and Region Allocation.</x:v>
      </x:c>
    </x:row>
    <x:row r="8">
      <x:c r="A8" s="10" t="str">
        <x:v>Important caveat</x:v>
      </x:c>
      <x:c r="B8" s="11" t="str">
        <x:v>Engineering planning model, not a vendor quote. Density, utilization, PUE, redundancy, construction cost, and power price materially affect results.</x:v>
      </x:c>
    </x:row>
    <x:row r="9">
      <x:c r="A9" s="10" t="str">
        <x:v>Universal exports</x:v>
      </x:c>
      <x:c r="B9" s="11" t="str">
        <x:v>CSV input tables are included beside the XLSX workbook.</x:v>
      </x:c>
    </x:row>
    <x:row r="10">
      <x:c r="A10" s="10" t="str">
        <x:v>Suggested next extension</x:v>
      </x:c>
      <x:c r="B10" s="11" t="str">
        <x:v>Add region-specific topology, N+1/2N redundancy, refresh cycles, depreciation, and multi-year growth.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5" hidden="0" customWidth="1"/>
    <x:col min="4" max="4" width="18" hidden="0" customWidth="1"/>
    <x:col min="5" max="5" width="20" hidden="0" customWidth="1"/>
    <x:col min="6" max="6" width="42" hidden="0" customWidth="1"/>
  </x:cols>
  <x:sheetData>
    <x:row r="1" ht="26" customHeight="1">
      <x:c r="A1" s="24" t="str">
        <x:v>Core Assumptions</x:v>
      </x:c>
      <x:c r="B1" s="24"/>
      <x:c r="C1" s="24"/>
      <x:c r="D1" s="24"/>
      <x:c r="E1" s="24"/>
      <x:c r="F1" s="24"/>
    </x:row>
    <x:row r="3">
      <x:c r="A3" s="18" t="str">
        <x:v>Category</x:v>
      </x:c>
      <x:c r="B3" s="18" t="str">
        <x:v>Assumption</x:v>
      </x:c>
      <x:c r="C3" s="18" t="str">
        <x:v>Value</x:v>
      </x:c>
      <x:c r="D3" s="18" t="str">
        <x:v>Unit</x:v>
      </x:c>
      <x:c r="E3" s="18" t="str">
        <x:v>Source / Status</x:v>
      </x:c>
      <x:c r="F3" s="18" t="str">
        <x:v>Notes</x:v>
      </x:c>
    </x:row>
    <x:row r="4">
      <x:c r="A4" t="str">
        <x:v>Compute</x:v>
      </x:c>
      <x:c r="B4" t="str">
        <x:v>CPU cores per server</x:v>
      </x:c>
      <x:c r="C4" s="20" t="n">
        <x:v>128</x:v>
      </x:c>
      <x:c r="D4" t="str">
        <x:v>cores/server</x:v>
      </x:c>
      <x:c r="E4" t="str">
        <x:v>Working assumption</x:v>
      </x:c>
      <x:c r="F4" t="str">
        <x:v>Dual-socket general-purpose server.</x:v>
      </x:c>
    </x:row>
    <x:row r="5">
      <x:c r="A5" t="str">
        <x:v>Compute</x:v>
      </x:c>
      <x:c r="B5" t="str">
        <x:v>GPU equivalents per GPU server</x:v>
      </x:c>
      <x:c r="C5" s="20" t="n">
        <x:v>8</x:v>
      </x:c>
      <x:c r="D5" t="str">
        <x:v>GPU/server</x:v>
      </x:c>
      <x:c r="E5" t="str">
        <x:v>Working assumption</x:v>
      </x:c>
      <x:c r="F5" t="str">
        <x:v>Accelerator slots, not a specific GPU model.</x:v>
      </x:c>
    </x:row>
    <x:row r="6">
      <x:c r="A6" t="str">
        <x:v>Compute</x:v>
      </x:c>
      <x:c r="B6" t="str">
        <x:v>Average CPU utilization</x:v>
      </x:c>
      <x:c r="C6" s="22" t="n">
        <x:v>0.55</x:v>
      </x:c>
      <x:c r="D6" t="str">
        <x:v>%</x:v>
      </x:c>
      <x:c r="E6" t="str">
        <x:v>Working assumption</x:v>
      </x:c>
      <x:c r="F6" t="str">
        <x:v>Target steady-state utilization.</x:v>
      </x:c>
    </x:row>
    <x:row r="7">
      <x:c r="A7" t="str">
        <x:v>Compute</x:v>
      </x:c>
      <x:c r="B7" t="str">
        <x:v>Average GPU utilization</x:v>
      </x:c>
      <x:c r="C7" s="22" t="n">
        <x:v>0.6</x:v>
      </x:c>
      <x:c r="D7" t="str">
        <x:v>%</x:v>
      </x:c>
      <x:c r="E7" t="str">
        <x:v>Working assumption</x:v>
      </x:c>
      <x:c r="F7" t="str">
        <x:v>Target steady-state utilization.</x:v>
      </x:c>
    </x:row>
    <x:row r="8">
      <x:c r="A8" t="str">
        <x:v>Storage</x:v>
      </x:c>
      <x:c r="B8" t="str">
        <x:v>Usable storage per storage server</x:v>
      </x:c>
      <x:c r="C8" s="20" t="n">
        <x:v>0.4</x:v>
      </x:c>
      <x:c r="D8" t="str">
        <x:v>PB/server</x:v>
      </x:c>
      <x:c r="E8" t="str">
        <x:v>Working assumption</x:v>
      </x:c>
      <x:c r="F8" t="str">
        <x:v>Usable storage per node.</x:v>
      </x:c>
    </x:row>
    <x:row r="9">
      <x:c r="A9" t="str">
        <x:v>Storage</x:v>
      </x:c>
      <x:c r="B9" t="str">
        <x:v>Storage replication factor</x:v>
      </x:c>
      <x:c r="C9" s="20" t="n">
        <x:v>3</x:v>
      </x:c>
      <x:c r="D9" t="str">
        <x:v>x</x:v>
      </x:c>
      <x:c r="E9" t="str">
        <x:v>Working assumption</x:v>
      </x:c>
      <x:c r="F9" t="str">
        <x:v>Three-copy logical replication.</x:v>
      </x:c>
    </x:row>
    <x:row r="10">
      <x:c r="A10" t="str">
        <x:v>Rack</x:v>
      </x:c>
      <x:c r="B10" t="str">
        <x:v>Servers per rack</x:v>
      </x:c>
      <x:c r="C10" s="20" t="n">
        <x:v>32</x:v>
      </x:c>
      <x:c r="D10" t="str">
        <x:v>servers/rack</x:v>
      </x:c>
      <x:c r="E10" t="str">
        <x:v>Working assumption</x:v>
      </x:c>
      <x:c r="F10" t="str">
        <x:v>Blended rack density.</x:v>
      </x:c>
    </x:row>
    <x:row r="11">
      <x:c r="A11" t="str">
        <x:v>Power</x:v>
      </x:c>
      <x:c r="B11" t="str">
        <x:v>CPU server power</x:v>
      </x:c>
      <x:c r="C11" s="20" t="n">
        <x:v>1.2</x:v>
      </x:c>
      <x:c r="D11" t="str">
        <x:v>kW/server</x:v>
      </x:c>
      <x:c r="E11" t="str">
        <x:v>Working assumption</x:v>
      </x:c>
      <x:c r="F11" t="str">
        <x:v>Average loaded draw.</x:v>
      </x:c>
    </x:row>
    <x:row r="12">
      <x:c r="A12" t="str">
        <x:v>Power</x:v>
      </x:c>
      <x:c r="B12" t="str">
        <x:v>GPU server power</x:v>
      </x:c>
      <x:c r="C12" s="20" t="n">
        <x:v>8</x:v>
      </x:c>
      <x:c r="D12" t="str">
        <x:v>kW/server</x:v>
      </x:c>
      <x:c r="E12" t="str">
        <x:v>Working assumption</x:v>
      </x:c>
      <x:c r="F12" t="str">
        <x:v>High-density accelerator server.</x:v>
      </x:c>
    </x:row>
    <x:row r="13">
      <x:c r="A13" t="str">
        <x:v>Power</x:v>
      </x:c>
      <x:c r="B13" t="str">
        <x:v>Storage server power</x:v>
      </x:c>
      <x:c r="C13" s="20" t="n">
        <x:v>1</x:v>
      </x:c>
      <x:c r="D13" t="str">
        <x:v>kW/server</x:v>
      </x:c>
      <x:c r="E13" t="str">
        <x:v>Working assumption</x:v>
      </x:c>
      <x:c r="F13" t="str">
        <x:v>Average loaded draw.</x:v>
      </x:c>
    </x:row>
    <x:row r="14">
      <x:c r="A14" t="str">
        <x:v>Power</x:v>
      </x:c>
      <x:c r="B14" t="str">
        <x:v>Network/other IT overhead</x:v>
      </x:c>
      <x:c r="C14" s="22" t="n">
        <x:v>0.12</x:v>
      </x:c>
      <x:c r="D14" t="str">
        <x:v>% of server IT</x:v>
      </x:c>
      <x:c r="E14" t="str">
        <x:v>Working assumption</x:v>
      </x:c>
      <x:c r="F14" t="str">
        <x:v>Switching, security, appliances.</x:v>
      </x:c>
    </x:row>
    <x:row r="15">
      <x:c r="A15" t="str">
        <x:v>Facility</x:v>
      </x:c>
      <x:c r="B15" t="str">
        <x:v>PUE</x:v>
      </x:c>
      <x:c r="C15" s="20" t="n">
        <x:v>1.25</x:v>
      </x:c>
      <x:c r="D15" t="str">
        <x:v>x</x:v>
      </x:c>
      <x:c r="E15" t="str">
        <x:v>Working assumption</x:v>
      </x:c>
      <x:c r="F15" t="str">
        <x:v>Facility power / IT power.</x:v>
      </x:c>
    </x:row>
    <x:row r="16">
      <x:c r="A16" t="str">
        <x:v>Facility</x:v>
      </x:c>
      <x:c r="B16" t="str">
        <x:v>Design headroom</x:v>
      </x:c>
      <x:c r="C16" s="22" t="n">
        <x:v>0.2</x:v>
      </x:c>
      <x:c r="D16" t="str">
        <x:v>%</x:v>
      </x:c>
      <x:c r="E16" t="str">
        <x:v>Working assumption</x:v>
      </x:c>
      <x:c r="F16" t="str">
        <x:v>Spare capacity for growth/failover.</x:v>
      </x:c>
    </x:row>
    <x:row r="17">
      <x:c r="A17" t="str">
        <x:v>Facility</x:v>
      </x:c>
      <x:c r="B17" t="str">
        <x:v>Critical-load MW per site</x:v>
      </x:c>
      <x:c r="C17" s="20" t="n">
        <x:v>12</x:v>
      </x:c>
      <x:c r="D17" t="str">
        <x:v>MW/site</x:v>
      </x:c>
      <x:c r="E17" t="str">
        <x:v>Working assumption</x:v>
      </x:c>
      <x:c r="F17" t="str">
        <x:v>Planning capacity per site.</x:v>
      </x:c>
    </x:row>
    <x:row r="18">
      <x:c r="A18" t="str">
        <x:v>Facility</x:v>
      </x:c>
      <x:c r="B18" t="str">
        <x:v>Minimum sovereign sites</x:v>
      </x:c>
      <x:c r="C18" s="20" t="n">
        <x:v>3</x:v>
      </x:c>
      <x:c r="D18" t="str">
        <x:v>sites</x:v>
      </x:c>
      <x:c r="E18" t="str">
        <x:v>Prior concept</x:v>
      </x:c>
      <x:c r="F18" t="str">
        <x:v>Geographically separated regions.</x:v>
      </x:c>
    </x:row>
    <x:row r="19">
      <x:c r="A19" t="str">
        <x:v>Economics</x:v>
      </x:c>
      <x:c r="B19" t="str">
        <x:v>Server CAPEX - CPU</x:v>
      </x:c>
      <x:c r="C19" s="20" t="n">
        <x:v>0.012</x:v>
      </x:c>
      <x:c r="D19" t="str">
        <x:v>EUR mm/server</x:v>
      </x:c>
      <x:c r="E19" t="str">
        <x:v>Working assumption</x:v>
      </x:c>
      <x:c r="F19" t="str">
        <x:v>€12k per server.</x:v>
      </x:c>
    </x:row>
    <x:row r="20">
      <x:c r="A20" t="str">
        <x:v>Economics</x:v>
      </x:c>
      <x:c r="B20" t="str">
        <x:v>Server CAPEX - GPU</x:v>
      </x:c>
      <x:c r="C20" s="20" t="n">
        <x:v>0.24</x:v>
      </x:c>
      <x:c r="D20" t="str">
        <x:v>EUR mm/server</x:v>
      </x:c>
      <x:c r="E20" t="str">
        <x:v>Working assumption</x:v>
      </x:c>
      <x:c r="F20" t="str">
        <x:v>€240k blended GPU server.</x:v>
      </x:c>
    </x:row>
    <x:row r="21">
      <x:c r="A21" t="str">
        <x:v>Economics</x:v>
      </x:c>
      <x:c r="B21" t="str">
        <x:v>Server CAPEX - storage</x:v>
      </x:c>
      <x:c r="C21" s="20" t="n">
        <x:v>0.035</x:v>
      </x:c>
      <x:c r="D21" t="str">
        <x:v>EUR mm/server</x:v>
      </x:c>
      <x:c r="E21" t="str">
        <x:v>Working assumption</x:v>
      </x:c>
      <x:c r="F21" t="str">
        <x:v>€35k per storage node.</x:v>
      </x:c>
    </x:row>
    <x:row r="22">
      <x:c r="A22" t="str">
        <x:v>Economics</x:v>
      </x:c>
      <x:c r="B22" t="str">
        <x:v>Network CAPEX</x:v>
      </x:c>
      <x:c r="C22" s="20" t="n">
        <x:v>0.18</x:v>
      </x:c>
      <x:c r="D22" t="str">
        <x:v>x server CAPEX</x:v>
      </x:c>
      <x:c r="E22" t="str">
        <x:v>Working assumption</x:v>
      </x:c>
      <x:c r="F22" t="str">
        <x:v>Network/security/optical.</x:v>
      </x:c>
    </x:row>
    <x:row r="23">
      <x:c r="A23" t="str">
        <x:v>Economics</x:v>
      </x:c>
      <x:c r="B23" t="str">
        <x:v>Facility CAPEX</x:v>
      </x:c>
      <x:c r="C23" s="20" t="n">
        <x:v>10</x:v>
      </x:c>
      <x:c r="D23" t="str">
        <x:v>EUR mm/MW</x:v>
      </x:c>
      <x:c r="E23" t="str">
        <x:v>Working assumption</x:v>
      </x:c>
      <x:c r="F23" t="str">
        <x:v>Building/electrical/cooling.</x:v>
      </x:c>
    </x:row>
    <x:row r="24">
      <x:c r="A24" t="str">
        <x:v>Economics</x:v>
      </x:c>
      <x:c r="B24" t="str">
        <x:v>Electricity price</x:v>
      </x:c>
      <x:c r="C24" s="20" t="n">
        <x:v>95</x:v>
      </x:c>
      <x:c r="D24" t="str">
        <x:v>EUR/MWh</x:v>
      </x:c>
      <x:c r="E24" t="str">
        <x:v>Working assumption</x:v>
      </x:c>
      <x:c r="F24" t="str">
        <x:v>Blended planning price.</x:v>
      </x:c>
    </x:row>
    <x:row r="25">
      <x:c r="A25" t="str">
        <x:v>Economics</x:v>
      </x:c>
      <x:c r="B25" t="str">
        <x:v>Non-power annual OPEX</x:v>
      </x:c>
      <x:c r="C25" s="22" t="n">
        <x:v>0.045</x:v>
      </x:c>
      <x:c r="D25" t="str">
        <x:v>x total CAPEX</x:v>
      </x:c>
      <x:c r="E25" t="str">
        <x:v>Working assumption</x:v>
      </x:c>
      <x:c r="F25" t="str">
        <x:v>Staff/software/maintenance.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b333785947f48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14" hidden="0" customWidth="1"/>
    <x:col min="5" max="5" width="18" hidden="0" customWidth="1"/>
    <x:col min="6" max="6" width="16" hidden="0" customWidth="1"/>
    <x:col min="7" max="7" width="13" hidden="0" customWidth="1"/>
    <x:col min="8" max="8" width="13" hidden="0" customWidth="1"/>
    <x:col min="9" max="9" width="14" hidden="0" customWidth="1"/>
    <x:col min="10" max="10" width="13" hidden="0" customWidth="1"/>
    <x:col min="11" max="11" width="14" hidden="0" customWidth="1"/>
    <x:col min="12" max="12" width="18" hidden="0" customWidth="1"/>
    <x:col min="13" max="13" width="48" hidden="0" customWidth="1"/>
  </x:cols>
  <x:sheetData>
    <x:row r="1" ht="26" customHeight="1">
      <x:c r="A1" s="24" t="str">
        <x:v>Workload Demand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3">
      <x:c r="A3" s="18" t="str">
        <x:v>Workload</x:v>
      </x:c>
      <x:c r="B3" s="18" t="str">
        <x:v>Class</x:v>
      </x:c>
      <x:c r="C3" s="18" t="str">
        <x:v>CPU cores required</x:v>
      </x:c>
      <x:c r="D3" s="18" t="str">
        <x:v>GPU eq. required</x:v>
      </x:c>
      <x:c r="E3" s="18" t="str">
        <x:v>Logical storage (PB)</x:v>
      </x:c>
      <x:c r="F3" s="18" t="str">
        <x:v>Availability factor</x:v>
      </x:c>
      <x:c r="G3" s="18" t="str">
        <x:v>CPU servers</x:v>
      </x:c>
      <x:c r="H3" s="18" t="str">
        <x:v>GPU servers</x:v>
      </x:c>
      <x:c r="I3" s="18" t="str">
        <x:v>Storage servers</x:v>
      </x:c>
      <x:c r="J3" s="18" t="str">
        <x:v>Total servers</x:v>
      </x:c>
      <x:c r="K3" s="18" t="str">
        <x:v>Rack equivalents</x:v>
      </x:c>
      <x:c r="L3" s="18" t="str">
        <x:v>Server IT power (MW)</x:v>
      </x:c>
      <x:c r="M3" s="18" t="str">
        <x:v>Notes</x:v>
      </x:c>
    </x:row>
    <x:row r="4">
      <x:c r="A4" t="str">
        <x:v>Digital identity / DigiD</x:v>
      </x:c>
      <x:c r="B4" t="str">
        <x:v>Critical government</x:v>
      </x:c>
      <x:c r="C4" s="20" t="n">
        <x:v>18000</x:v>
      </x:c>
      <x:c r="D4" s="20" t="n">
        <x:v>0</x:v>
      </x:c>
      <x:c r="E4" s="20" t="n">
        <x:v>4</x:v>
      </x:c>
      <x:c r="F4" s="28" t="n">
        <x:v>1.5</x:v>
      </x:c>
      <x:c r="G4" s="26" t="n">
        <x:f>ROUNDUP(C4*F4/(Assumptions!$C$4*Assumptions!$C$6),0)</x:f>
        <x:v>384</x:v>
      </x:c>
      <x:c r="H4" s="26" t="n">
        <x:f>ROUNDUP(D4*F4/(Assumptions!$C$5*Assumptions!$C$7),0)</x:f>
        <x:v>0</x:v>
      </x:c>
      <x:c r="I4" s="26" t="n">
        <x:f>ROUNDUP(E4*Assumptions!$C$9*F4/Assumptions!$C$8,0)</x:f>
        <x:v>45</x:v>
      </x:c>
      <x:c r="J4" s="26" t="n">
        <x:f>SUM(G4:I4)</x:f>
        <x:v>429</x:v>
      </x:c>
      <x:c r="K4" s="30" t="n">
        <x:f>J4/Assumptions!$C$10</x:f>
        <x:v>13.40625</x:v>
      </x:c>
      <x:c r="L4" s="32" t="n">
        <x:f>(G4*Assumptions!$C$11+H4*Assumptions!$C$12+I4*Assumptions!$C$13)/1000</x:f>
        <x:v>0.5057999999999999</x:v>
      </x:c>
      <x:c r="M4" t="str">
        <x:v>Identity/authentication and citizen-facing critical services.</x:v>
      </x:c>
    </x:row>
    <x:row r="5">
      <x:c r="A5" t="str">
        <x:v>Core government applications</x:v>
      </x:c>
      <x:c r="B5" t="str">
        <x:v>Government</x:v>
      </x:c>
      <x:c r="C5" s="20" t="n">
        <x:v>55000</x:v>
      </x:c>
      <x:c r="D5" s="20" t="n">
        <x:v>0</x:v>
      </x:c>
      <x:c r="E5" s="20" t="n">
        <x:v>18</x:v>
      </x:c>
      <x:c r="F5" s="28" t="n">
        <x:v>1.35</x:v>
      </x:c>
      <x:c r="G5" s="26" t="n">
        <x:f>ROUNDUP(C5*F5/(Assumptions!$C$4*Assumptions!$C$6),0)</x:f>
        <x:v>1055</x:v>
      </x:c>
      <x:c r="H5" s="26" t="n">
        <x:f>ROUNDUP(D5*F5/(Assumptions!$C$5*Assumptions!$C$7),0)</x:f>
        <x:v>0</x:v>
      </x:c>
      <x:c r="I5" s="26" t="n">
        <x:f>ROUNDUP(E5*Assumptions!$C$9*F5/Assumptions!$C$8,0)</x:f>
        <x:v>183</x:v>
      </x:c>
      <x:c r="J5" s="26" t="n">
        <x:f>SUM(G5:I5)</x:f>
        <x:v>1238</x:v>
      </x:c>
      <x:c r="K5" s="30" t="n">
        <x:f>J5/Assumptions!$C$10</x:f>
        <x:v>38.6875</x:v>
      </x:c>
      <x:c r="L5" s="32" t="n">
        <x:f>(G5*Assumptions!$C$11+H5*Assumptions!$C$12+I5*Assumptions!$C$13)/1000</x:f>
        <x:v>1.449</x:v>
      </x:c>
      <x:c r="M5" t="str">
        <x:v>Ministries, agencies, transactional systems.</x:v>
      </x:c>
    </x:row>
    <x:row r="6">
      <x:c r="A6" t="str">
        <x:v>Data platforms &amp; analytics</x:v>
      </x:c>
      <x:c r="B6" t="str">
        <x:v>Government data</x:v>
      </x:c>
      <x:c r="C6" s="20" t="n">
        <x:v>35000</x:v>
      </x:c>
      <x:c r="D6" s="20" t="n">
        <x:v>80</x:v>
      </x:c>
      <x:c r="E6" s="20" t="n">
        <x:v>60</x:v>
      </x:c>
      <x:c r="F6" s="28" t="n">
        <x:v>1.25</x:v>
      </x:c>
      <x:c r="G6" s="26" t="n">
        <x:f>ROUNDUP(C6*F6/(Assumptions!$C$4*Assumptions!$C$6),0)</x:f>
        <x:v>622</x:v>
      </x:c>
      <x:c r="H6" s="26" t="n">
        <x:f>ROUNDUP(D6*F6/(Assumptions!$C$5*Assumptions!$C$7),0)</x:f>
        <x:v>21</x:v>
      </x:c>
      <x:c r="I6" s="26" t="n">
        <x:f>ROUNDUP(E6*Assumptions!$C$9*F6/Assumptions!$C$8,0)</x:f>
        <x:v>563</x:v>
      </x:c>
      <x:c r="J6" s="26" t="n">
        <x:f>SUM(G6:I6)</x:f>
        <x:v>1206</x:v>
      </x:c>
      <x:c r="K6" s="30" t="n">
        <x:f>J6/Assumptions!$C$10</x:f>
        <x:v>37.6875</x:v>
      </x:c>
      <x:c r="L6" s="32" t="n">
        <x:f>(G6*Assumptions!$C$11+H6*Assumptions!$C$12+I6*Assumptions!$C$13)/1000</x:f>
        <x:v>1.4774</x:v>
      </x:c>
      <x:c r="M6" t="str">
        <x:v>Lakehouse, analytics, national datasets.</x:v>
      </x:c>
    </x:row>
    <x:row r="7">
      <x:c r="A7" t="str">
        <x:v>AI / sovereign model serving</x:v>
      </x:c>
      <x:c r="B7" t="str">
        <x:v>AI</x:v>
      </x:c>
      <x:c r="C7" s="20" t="n">
        <x:v>18000</x:v>
      </x:c>
      <x:c r="D7" s="20" t="n">
        <x:v>512</x:v>
      </x:c>
      <x:c r="E7" s="20" t="n">
        <x:v>12</x:v>
      </x:c>
      <x:c r="F7" s="28" t="n">
        <x:v>1.3</x:v>
      </x:c>
      <x:c r="G7" s="26" t="n">
        <x:f>ROUNDUP(C7*F7/(Assumptions!$C$4*Assumptions!$C$6),0)</x:f>
        <x:v>333</x:v>
      </x:c>
      <x:c r="H7" s="26" t="n">
        <x:f>ROUNDUP(D7*F7/(Assumptions!$C$5*Assumptions!$C$7),0)</x:f>
        <x:v>139</x:v>
      </x:c>
      <x:c r="I7" s="26" t="n">
        <x:f>ROUNDUP(E7*Assumptions!$C$9*F7/Assumptions!$C$8,0)</x:f>
        <x:v>117</x:v>
      </x:c>
      <x:c r="J7" s="26" t="n">
        <x:f>SUM(G7:I7)</x:f>
        <x:v>589</x:v>
      </x:c>
      <x:c r="K7" s="30" t="n">
        <x:f>J7/Assumptions!$C$10</x:f>
        <x:v>18.40625</x:v>
      </x:c>
      <x:c r="L7" s="32" t="n">
        <x:f>(G7*Assumptions!$C$11+H7*Assumptions!$C$12+I7*Assumptions!$C$13)/1000</x:f>
        <x:v>1.6285999999999998</x:v>
      </x:c>
      <x:c r="M7" t="str">
        <x:v>Inference plus selected training/fine-tuning.</x:v>
      </x:c>
    </x:row>
    <x:row r="8">
      <x:c r="A8" t="str">
        <x:v>Defense classified compute</x:v>
      </x:c>
      <x:c r="B8" t="str">
        <x:v>Defense</x:v>
      </x:c>
      <x:c r="C8" s="20" t="n">
        <x:v>30000</x:v>
      </x:c>
      <x:c r="D8" s="20" t="n">
        <x:v>256</x:v>
      </x:c>
      <x:c r="E8" s="20" t="n">
        <x:v>15</x:v>
      </x:c>
      <x:c r="F8" s="28" t="n">
        <x:v>1.5</x:v>
      </x:c>
      <x:c r="G8" s="26" t="n">
        <x:f>ROUNDUP(C8*F8/(Assumptions!$C$4*Assumptions!$C$6),0)</x:f>
        <x:v>640</x:v>
      </x:c>
      <x:c r="H8" s="26" t="n">
        <x:f>ROUNDUP(D8*F8/(Assumptions!$C$5*Assumptions!$C$7),0)</x:f>
        <x:v>80</x:v>
      </x:c>
      <x:c r="I8" s="26" t="n">
        <x:f>ROUNDUP(E8*Assumptions!$C$9*F8/Assumptions!$C$8,0)</x:f>
        <x:v>169</x:v>
      </x:c>
      <x:c r="J8" s="26" t="n">
        <x:f>SUM(G8:I8)</x:f>
        <x:v>889</x:v>
      </x:c>
      <x:c r="K8" s="30" t="n">
        <x:f>J8/Assumptions!$C$10</x:f>
        <x:v>27.78125</x:v>
      </x:c>
      <x:c r="L8" s="32" t="n">
        <x:f>(G8*Assumptions!$C$11+H8*Assumptions!$C$12+I8*Assumptions!$C$13)/1000</x:f>
        <x:v>1.577</x:v>
      </x:c>
      <x:c r="M8" t="str">
        <x:v>Classified workloads with higher redundancy.</x:v>
      </x:c>
    </x:row>
    <x:row r="9">
      <x:c r="A9" t="str">
        <x:v>Cybersecurity / SOC / telemetry</x:v>
      </x:c>
      <x:c r="B9" t="str">
        <x:v>Security</x:v>
      </x:c>
      <x:c r="C9" s="20" t="n">
        <x:v>22000</x:v>
      </x:c>
      <x:c r="D9" s="20" t="n">
        <x:v>32</x:v>
      </x:c>
      <x:c r="E9" s="20" t="n">
        <x:v>25</x:v>
      </x:c>
      <x:c r="F9" s="28" t="n">
        <x:v>1.4</x:v>
      </x:c>
      <x:c r="G9" s="26" t="n">
        <x:f>ROUNDUP(C9*F9/(Assumptions!$C$4*Assumptions!$C$6),0)</x:f>
        <x:v>438</x:v>
      </x:c>
      <x:c r="H9" s="26" t="n">
        <x:f>ROUNDUP(D9*F9/(Assumptions!$C$5*Assumptions!$C$7),0)</x:f>
        <x:v>10</x:v>
      </x:c>
      <x:c r="I9" s="26" t="n">
        <x:f>ROUNDUP(E9*Assumptions!$C$9*F9/Assumptions!$C$8,0)</x:f>
        <x:v>263</x:v>
      </x:c>
      <x:c r="J9" s="26" t="n">
        <x:f>SUM(G9:I9)</x:f>
        <x:v>711</x:v>
      </x:c>
      <x:c r="K9" s="30" t="n">
        <x:f>J9/Assumptions!$C$10</x:f>
        <x:v>22.21875</x:v>
      </x:c>
      <x:c r="L9" s="32" t="n">
        <x:f>(G9*Assumptions!$C$11+H9*Assumptions!$C$12+I9*Assumptions!$C$13)/1000</x:f>
        <x:v>0.8686</x:v>
      </x:c>
      <x:c r="M9" t="str">
        <x:v>Logging, detection, threat intel, observability.</x:v>
      </x:c>
    </x:row>
    <x:row r="10">
      <x:c r="A10" t="str">
        <x:v>Scientific / public research</x:v>
      </x:c>
      <x:c r="B10" t="str">
        <x:v>Research</x:v>
      </x:c>
      <x:c r="C10" s="20" t="n">
        <x:v>26000</x:v>
      </x:c>
      <x:c r="D10" s="20" t="n">
        <x:v>128</x:v>
      </x:c>
      <x:c r="E10" s="20" t="n">
        <x:v>20</x:v>
      </x:c>
      <x:c r="F10" s="28" t="n">
        <x:v>1.15</x:v>
      </x:c>
      <x:c r="G10" s="26" t="n">
        <x:f>ROUNDUP(C10*F10/(Assumptions!$C$4*Assumptions!$C$6),0)</x:f>
        <x:v>425</x:v>
      </x:c>
      <x:c r="H10" s="26" t="n">
        <x:f>ROUNDUP(D10*F10/(Assumptions!$C$5*Assumptions!$C$7),0)</x:f>
        <x:v>31</x:v>
      </x:c>
      <x:c r="I10" s="26" t="n">
        <x:f>ROUNDUP(E10*Assumptions!$C$9*F10/Assumptions!$C$8,0)</x:f>
        <x:v>173</x:v>
      </x:c>
      <x:c r="J10" s="26" t="n">
        <x:f>SUM(G10:I10)</x:f>
        <x:v>629</x:v>
      </x:c>
      <x:c r="K10" s="30" t="n">
        <x:f>J10/Assumptions!$C$10</x:f>
        <x:v>19.65625</x:v>
      </x:c>
      <x:c r="L10" s="32" t="n">
        <x:f>(G10*Assumptions!$C$11+H10*Assumptions!$C$12+I10*Assumptions!$C$13)/1000</x:f>
        <x:v>0.931</x:v>
      </x:c>
      <x:c r="M10" t="str">
        <x:v>Optional sovereign HPC and research capacity.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27ac58efbede40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8" hidden="0" customWidth="1"/>
    <x:col min="5" max="5" width="42" hidden="0" customWidth="1"/>
    <x:col min="6" max="6" width="12" hidden="0" customWidth="1"/>
  </x:cols>
  <x:sheetData>
    <x:row r="1" ht="26" customHeight="1">
      <x:c r="A1" s="24" t="str">
        <x:v>National Facility Summary</x:v>
      </x:c>
      <x:c r="B1" s="24"/>
      <x:c r="C1" s="24"/>
      <x:c r="D1" s="24"/>
      <x:c r="E1" s="24"/>
      <x:c r="F1" s="24"/>
    </x:row>
    <x:row r="3">
      <x:c r="A3" s="18" t="str">
        <x:v>Metric</x:v>
      </x:c>
      <x:c r="B3" s="18" t="str">
        <x:v>Value</x:v>
      </x:c>
      <x:c r="C3" s="18" t="str">
        <x:v>Unit</x:v>
      </x:c>
      <x:c r="D3" s="18" t="str">
        <x:v>Formula / Driver</x:v>
      </x:c>
      <x:c r="E3" s="18" t="str">
        <x:v>Interpretation</x:v>
      </x:c>
      <x:c r="F3" s="18" t="str">
        <x:v>Status</x:v>
      </x:c>
    </x:row>
    <x:row r="4">
      <x:c r="A4" t="str">
        <x:v>CPU servers</x:v>
      </x:c>
      <x:c r="B4" s="26" t="n">
        <x:f>SUM(Workloads!G4:G10)</x:f>
        <x:v>3897</x:v>
      </x:c>
      <x:c r="C4" t="str">
        <x:v>servers</x:v>
      </x:c>
      <x:c r="D4" t="str">
        <x:v>Workload-derived</x:v>
      </x:c>
      <x:c r="E4" t="str">
        <x:v>General-purpose compute fleet</x:v>
      </x:c>
      <x:c r="F4" t="str">
        <x:v>Derived</x:v>
      </x:c>
    </x:row>
    <x:row r="5">
      <x:c r="A5" t="str">
        <x:v>GPU servers</x:v>
      </x:c>
      <x:c r="B5" s="26" t="n">
        <x:f>SUM(Workloads!H4:H10)</x:f>
        <x:v>281</x:v>
      </x:c>
      <x:c r="C5" t="str">
        <x:v>servers</x:v>
      </x:c>
      <x:c r="D5" t="str">
        <x:v>Workload-derived</x:v>
      </x:c>
      <x:c r="E5" t="str">
        <x:v>Accelerator fleet</x:v>
      </x:c>
      <x:c r="F5" t="str">
        <x:v>Derived</x:v>
      </x:c>
    </x:row>
    <x:row r="6">
      <x:c r="A6" t="str">
        <x:v>Storage servers</x:v>
      </x:c>
      <x:c r="B6" s="26" t="n">
        <x:f>SUM(Workloads!I4:I10)</x:f>
        <x:v>1513</x:v>
      </x:c>
      <x:c r="C6" t="str">
        <x:v>servers</x:v>
      </x:c>
      <x:c r="D6" t="str">
        <x:v>Workload-derived</x:v>
      </x:c>
      <x:c r="E6" t="str">
        <x:v>Replicated storage fleet</x:v>
      </x:c>
      <x:c r="F6" t="str">
        <x:v>Derived</x:v>
      </x:c>
    </x:row>
    <x:row r="7">
      <x:c r="A7" t="str">
        <x:v>Total servers</x:v>
      </x:c>
      <x:c r="B7" s="26" t="n">
        <x:f>SUM(B4:B6)</x:f>
        <x:v>5691</x:v>
      </x:c>
      <x:c r="C7" t="str">
        <x:v>servers</x:v>
      </x:c>
      <x:c r="D7" t="str">
        <x:v>Sum of server classes</x:v>
      </x:c>
      <x:c r="E7" t="str">
        <x:v>Physical servers</x:v>
      </x:c>
      <x:c r="F7" t="str">
        <x:v>Derived</x:v>
      </x:c>
    </x:row>
    <x:row r="8">
      <x:c r="A8" t="str">
        <x:v>Rack equivalents</x:v>
      </x:c>
      <x:c r="B8" s="26" t="n">
        <x:f>B7/Assumptions!$C$10</x:f>
        <x:v>177.84375</x:v>
      </x:c>
      <x:c r="C8" t="str">
        <x:v>racks</x:v>
      </x:c>
      <x:c r="D8" t="str">
        <x:v>Servers / servers per rack</x:v>
      </x:c>
      <x:c r="E8" t="str">
        <x:v>Blended rack count</x:v>
      </x:c>
      <x:c r="F8" t="str">
        <x:v>Derived</x:v>
      </x:c>
    </x:row>
    <x:row r="9">
      <x:c r="A9" t="str">
        <x:v>Server IT load</x:v>
      </x:c>
      <x:c r="B9" s="32" t="n">
        <x:f>SUM(Workloads!L4:L10)</x:f>
        <x:v>8.4374</x:v>
      </x:c>
      <x:c r="C9" t="str">
        <x:v>MW</x:v>
      </x:c>
      <x:c r="D9" t="str">
        <x:v>Workload-derived</x:v>
      </x:c>
      <x:c r="E9" t="str">
        <x:v>Compute + storage server draw</x:v>
      </x:c>
      <x:c r="F9" t="str">
        <x:v>Derived</x:v>
      </x:c>
    </x:row>
    <x:row r="10">
      <x:c r="A10" t="str">
        <x:v>Total IT load</x:v>
      </x:c>
      <x:c r="B10" s="32" t="n">
        <x:f>B9*(1+Assumptions!$C$14)</x:f>
        <x:v>9.449888000000001</x:v>
      </x:c>
      <x:c r="C10" t="str">
        <x:v>MW</x:v>
      </x:c>
      <x:c r="D10" t="str">
        <x:v>Adds network/other IT</x:v>
      </x:c>
      <x:c r="E10" t="str">
        <x:v>IT critical load</x:v>
      </x:c>
      <x:c r="F10" t="str">
        <x:v>Derived</x:v>
      </x:c>
    </x:row>
    <x:row r="11">
      <x:c r="A11" t="str">
        <x:v>Facility load before headroom</x:v>
      </x:c>
      <x:c r="B11" s="32" t="n">
        <x:f>B10*Assumptions!$C$15</x:f>
        <x:v>11.812360000000002</x:v>
      </x:c>
      <x:c r="C11" t="str">
        <x:v>MW</x:v>
      </x:c>
      <x:c r="D11" t="str">
        <x:v>IT × PUE</x:v>
      </x:c>
      <x:c r="E11" t="str">
        <x:v>Utility load</x:v>
      </x:c>
      <x:c r="F11" t="str">
        <x:v>Derived</x:v>
      </x:c>
    </x:row>
    <x:row r="12">
      <x:c r="A12" t="str">
        <x:v>Facility design load</x:v>
      </x:c>
      <x:c r="B12" s="32" t="n">
        <x:f>B11*(1+Assumptions!$C$16)</x:f>
        <x:v>14.174832000000002</x:v>
      </x:c>
      <x:c r="C12" t="str">
        <x:v>MW</x:v>
      </x:c>
      <x:c r="D12" t="str">
        <x:v>Adds design headroom</x:v>
      </x:c>
      <x:c r="E12" t="str">
        <x:v>Capacity to provision</x:v>
      </x:c>
      <x:c r="F12" t="str">
        <x:v>Derived</x:v>
      </x:c>
    </x:row>
    <x:row r="13">
      <x:c r="A13" t="str">
        <x:v>Sites required by MW</x:v>
      </x:c>
      <x:c r="B13" s="32" t="n">
        <x:f>ROUNDUP(B12/Assumptions!$C$17,0)</x:f>
        <x:v>2</x:v>
      </x:c>
      <x:c r="C13" t="str">
        <x:v>sites</x:v>
      </x:c>
      <x:c r="D13" t="str">
        <x:v>Design MW / site capacity</x:v>
      </x:c>
      <x:c r="E13" t="str">
        <x:v>Capacity-driven site count</x:v>
      </x:c>
      <x:c r="F13" t="str">
        <x:v>Derived</x:v>
      </x:c>
    </x:row>
    <x:row r="14">
      <x:c r="A14" t="str">
        <x:v>Recommended sovereign sites</x:v>
      </x:c>
      <x:c r="B14" s="32" t="n">
        <x:f>MAX(B13,Assumptions!$C$18)</x:f>
        <x:v>3</x:v>
      </x:c>
      <x:c r="C14" t="str">
        <x:v>sites</x:v>
      </x:c>
      <x:c r="D14" t="str">
        <x:v>Max(capacity, minimum sites)</x:v>
      </x:c>
      <x:c r="E14" t="str">
        <x:v>Geographic footprint</x:v>
      </x:c>
      <x:c r="F14" t="str">
        <x:v>Derived</x:v>
      </x:c>
    </x:row>
    <x:row r="15">
      <x:c r="A15" t="str">
        <x:v>Average design MW/site</x:v>
      </x:c>
      <x:c r="B15" s="32" t="n">
        <x:f>B12/B14</x:f>
        <x:v>4.724944000000001</x:v>
      </x:c>
      <x:c r="C15" t="str">
        <x:v>MW/site</x:v>
      </x:c>
      <x:c r="D15" t="str">
        <x:v>Design MW / sites</x:v>
      </x:c>
      <x:c r="E15" t="str">
        <x:v>Average site sizing</x:v>
      </x:c>
      <x:c r="F15" t="str">
        <x:v>Derived</x:v>
      </x:c>
    </x:row>
    <x:row r="16">
      <x:c r="A16" t="str">
        <x:v>CPU server CAPEX</x:v>
      </x:c>
      <x:c r="B16" s="34" t="n">
        <x:f>B4*Assumptions!$C$19</x:f>
        <x:v>46.764</x:v>
      </x:c>
      <x:c r="C16" t="str">
        <x:v>EUR mm</x:v>
      </x:c>
      <x:c r="D16" t="str">
        <x:v>CPU servers × unit cost</x:v>
      </x:c>
      <x:c r="E16" t="str">
        <x:v>Hardware</x:v>
      </x:c>
      <x:c r="F16" t="str">
        <x:v>Derived</x:v>
      </x:c>
    </x:row>
    <x:row r="17">
      <x:c r="A17" t="str">
        <x:v>GPU server CAPEX</x:v>
      </x:c>
      <x:c r="B17" s="34" t="n">
        <x:f>B5*Assumptions!$C$20</x:f>
        <x:v>67.44</x:v>
      </x:c>
      <x:c r="C17" t="str">
        <x:v>EUR mm</x:v>
      </x:c>
      <x:c r="D17" t="str">
        <x:v>GPU servers × unit cost</x:v>
      </x:c>
      <x:c r="E17" t="str">
        <x:v>Hardware</x:v>
      </x:c>
      <x:c r="F17" t="str">
        <x:v>Derived</x:v>
      </x:c>
    </x:row>
    <x:row r="18">
      <x:c r="A18" t="str">
        <x:v>Storage server CAPEX</x:v>
      </x:c>
      <x:c r="B18" s="34" t="n">
        <x:f>B6*Assumptions!$C$21</x:f>
        <x:v>52.955000000000005</x:v>
      </x:c>
      <x:c r="C18" t="str">
        <x:v>EUR mm</x:v>
      </x:c>
      <x:c r="D18" t="str">
        <x:v>Storage servers × unit cost</x:v>
      </x:c>
      <x:c r="E18" t="str">
        <x:v>Hardware</x:v>
      </x:c>
      <x:c r="F18" t="str">
        <x:v>Derived</x:v>
      </x:c>
    </x:row>
    <x:row r="19">
      <x:c r="A19" t="str">
        <x:v>Network CAPEX</x:v>
      </x:c>
      <x:c r="B19" s="34" t="n">
        <x:f>SUM(B16:B18)*Assumptions!$C$22</x:f>
        <x:v>30.088620000000002</x:v>
      </x:c>
      <x:c r="C19" t="str">
        <x:v>EUR mm</x:v>
      </x:c>
      <x:c r="D19" t="str">
        <x:v>% of server CAPEX</x:v>
      </x:c>
      <x:c r="E19" t="str">
        <x:v>Network/security/optical</x:v>
      </x:c>
      <x:c r="F19" t="str">
        <x:v>Derived</x:v>
      </x:c>
    </x:row>
    <x:row r="20">
      <x:c r="A20" t="str">
        <x:v>Facility CAPEX</x:v>
      </x:c>
      <x:c r="B20" s="34" t="n">
        <x:f>B12*Assumptions!$C$23</x:f>
        <x:v>141.74832000000004</x:v>
      </x:c>
      <x:c r="C20" t="str">
        <x:v>EUR mm</x:v>
      </x:c>
      <x:c r="D20" t="str">
        <x:v>Design MW × facility €/MW</x:v>
      </x:c>
      <x:c r="E20" t="str">
        <x:v>Building/electrical/cooling</x:v>
      </x:c>
      <x:c r="F20" t="str">
        <x:v>Derived</x:v>
      </x:c>
    </x:row>
    <x:row r="21">
      <x:c r="A21" t="str">
        <x:v>Total CAPEX</x:v>
      </x:c>
      <x:c r="B21" s="34" t="n">
        <x:f>SUM(B16:B20)</x:f>
        <x:v>338.99594</x:v>
      </x:c>
      <x:c r="C21" t="str">
        <x:v>EUR mm</x:v>
      </x:c>
      <x:c r="D21" t="str">
        <x:v>IT + network + facility</x:v>
      </x:c>
      <x:c r="E21" t="str">
        <x:v>Program CAPEX</x:v>
      </x:c>
      <x:c r="F21" t="str">
        <x:v>Derived</x:v>
      </x:c>
    </x:row>
    <x:row r="22">
      <x:c r="A22" t="str">
        <x:v>Annual energy</x:v>
      </x:c>
      <x:c r="B22" s="36" t="n">
        <x:f>B11*8760</x:f>
        <x:v>103476.27360000001</x:v>
      </x:c>
      <x:c r="C22" t="str">
        <x:v>MWh/year</x:v>
      </x:c>
      <x:c r="D22" t="str">
        <x:v>Facility MW × 8,760</x:v>
      </x:c>
      <x:c r="E22" t="str">
        <x:v>Electricity consumption</x:v>
      </x:c>
      <x:c r="F22" t="str">
        <x:v>Derived</x:v>
      </x:c>
    </x:row>
    <x:row r="23">
      <x:c r="A23" t="str">
        <x:v>Annual power OPEX</x:v>
      </x:c>
      <x:c r="B23" s="34" t="n">
        <x:f>B22*Assumptions!$C$24/1000000</x:f>
        <x:v>9.830245992</x:v>
      </x:c>
      <x:c r="C23" t="str">
        <x:v>EUR mm/year</x:v>
      </x:c>
      <x:c r="D23" t="str">
        <x:v>MWh × EUR/MWh</x:v>
      </x:c>
      <x:c r="E23" t="str">
        <x:v>Electricity expense</x:v>
      </x:c>
      <x:c r="F23" t="str">
        <x:v>Derived</x:v>
      </x:c>
    </x:row>
    <x:row r="24">
      <x:c r="A24" t="str">
        <x:v>Annual non-power OPEX</x:v>
      </x:c>
      <x:c r="B24" s="34" t="n">
        <x:f>B21*Assumptions!$C$25</x:f>
        <x:v>15.254817300000001</x:v>
      </x:c>
      <x:c r="C24" t="str">
        <x:v>EUR mm/year</x:v>
      </x:c>
      <x:c r="D24" t="str">
        <x:v>% of total CAPEX</x:v>
      </x:c>
      <x:c r="E24" t="str">
        <x:v>Staff/software/maintenance</x:v>
      </x:c>
      <x:c r="F24" t="str">
        <x:v>Derived</x:v>
      </x:c>
    </x:row>
    <x:row r="25">
      <x:c r="A25" t="str">
        <x:v>Total annual OPEX</x:v>
      </x:c>
      <x:c r="B25" s="34" t="n">
        <x:f>SUM(B23:B24)</x:f>
        <x:v>25.085063292</x:v>
      </x:c>
      <x:c r="C25" t="str">
        <x:v>EUR mm/year</x:v>
      </x:c>
      <x:c r="D25" t="str">
        <x:v>Power + non-power</x:v>
      </x:c>
      <x:c r="E25" t="str">
        <x:v>Steady-state OPEX</x:v>
      </x:c>
      <x:c r="F25" t="str">
        <x:v>Derived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83b94c53e3154f54"/>
  <x:tableParts count="1">
    <x:tablePart xmlns:r="http://schemas.openxmlformats.org/officeDocument/2006/relationships" r:id="R8b729c89048146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4" hidden="0" customWidth="1"/>
    <x:col min="5" max="5" width="16" hidden="0" customWidth="1"/>
    <x:col min="6" max="6" width="24" hidden="0" customWidth="1"/>
    <x:col min="7" max="7" width="18" hidden="0" customWidth="1"/>
    <x:col min="8" max="8" width="48" hidden="0" customWidth="1"/>
  </x:cols>
  <x:sheetData>
    <x:row r="1" ht="26" customHeight="1">
      <x:c r="A1" s="24" t="str">
        <x:v>Illustrative Regional Allocation</x:v>
      </x:c>
      <x:c r="B1" s="24"/>
      <x:c r="C1" s="24"/>
      <x:c r="D1" s="24"/>
      <x:c r="E1" s="24"/>
      <x:c r="F1" s="24"/>
      <x:c r="G1" s="24"/>
      <x:c r="H1" s="24"/>
    </x:row>
    <x:row r="3">
      <x:c r="A3" s="18" t="str">
        <x:v>Region</x:v>
      </x:c>
      <x:c r="B3" s="18" t="str">
        <x:v>Role</x:v>
      </x:c>
      <x:c r="C3" s="18" t="str">
        <x:v>Share of design load</x:v>
      </x:c>
      <x:c r="D3" s="18" t="str">
        <x:v>Design MW</x:v>
      </x:c>
      <x:c r="E3" s="18" t="str">
        <x:v>Estimated racks</x:v>
      </x:c>
      <x:c r="F3" s="18" t="str">
        <x:v>Indicative facility CAPEX (EUR mm)</x:v>
      </x:c>
      <x:c r="G3" s="18" t="str">
        <x:v>Resilience role</x:v>
      </x:c>
      <x:c r="H3" s="18" t="str">
        <x:v>Notes</x:v>
      </x:c>
    </x:row>
    <x:row r="4">
      <x:c r="A4" t="str">
        <x:v>West / Randstad</x:v>
      </x:c>
      <x:c r="B4" t="str">
        <x:v>Primary civil cloud</x:v>
      </x:c>
      <x:c r="C4" s="38" t="n">
        <x:v>0.3</x:v>
      </x:c>
      <x:c r="D4" s="30" t="n">
        <x:f>'Facility Summary'!$B$12*C4</x:f>
        <x:v>4.2524496</x:v>
      </x:c>
      <x:c r="E4" s="30" t="n">
        <x:f>'Facility Summary'!$B$8*C4</x:f>
        <x:v>53.353125</x:v>
      </x:c>
      <x:c r="F4" s="34" t="n">
        <x:f>D4*Assumptions!$C$23</x:f>
        <x:v>42.524496</x:v>
      </x:c>
      <x:c r="G4" t="str">
        <x:v>Active-active</x:v>
      </x:c>
      <x:c r="H4" t="str">
        <x:v>High connectivity; avoid overconcentration in Amsterdam proper.</x:v>
      </x:c>
    </x:row>
    <x:row r="5">
      <x:c r="A5" t="str">
        <x:v>North</x:v>
      </x:c>
      <x:c r="B5" t="str">
        <x:v>Sovereign secondary</x:v>
      </x:c>
      <x:c r="C5" s="38" t="n">
        <x:v>0.2</x:v>
      </x:c>
      <x:c r="D5" s="30" t="n">
        <x:f>'Facility Summary'!$B$12*C5</x:f>
        <x:v>2.8349664000000008</x:v>
      </x:c>
      <x:c r="E5" s="30" t="n">
        <x:f>'Facility Summary'!$B$8*C5</x:f>
        <x:v>35.56875</x:v>
      </x:c>
      <x:c r="F5" s="34" t="n">
        <x:f>D5*Assumptions!$C$23</x:f>
        <x:v>28.349664000000008</x:v>
      </x:c>
      <x:c r="G5" t="str">
        <x:v>Active-active</x:v>
      </x:c>
      <x:c r="H5" t="str">
        <x:v>Potential power/land advantages; geographically separated.</x:v>
      </x:c>
    </x:row>
    <x:row r="6">
      <x:c r="A6" t="str">
        <x:v>East</x:v>
      </x:c>
      <x:c r="B6" t="str">
        <x:v>Government / continuity</x:v>
      </x:c>
      <x:c r="C6" s="38" t="n">
        <x:v>0.2</x:v>
      </x:c>
      <x:c r="D6" s="30" t="n">
        <x:f>'Facility Summary'!$B$12*C6</x:f>
        <x:v>2.8349664000000008</x:v>
      </x:c>
      <x:c r="E6" s="30" t="n">
        <x:f>'Facility Summary'!$B$8*C6</x:f>
        <x:v>35.56875</x:v>
      </x:c>
      <x:c r="F6" s="34" t="n">
        <x:f>D6*Assumptions!$C$23</x:f>
        <x:v>28.349664000000008</x:v>
      </x:c>
      <x:c r="G6" t="str">
        <x:v>Active-active</x:v>
      </x:c>
      <x:c r="H6" t="str">
        <x:v>Reduces western concentration risk.</x:v>
      </x:c>
    </x:row>
    <x:row r="7">
      <x:c r="A7" t="str">
        <x:v>South</x:v>
      </x:c>
      <x:c r="B7" t="str">
        <x:v>Defense / industrial</x:v>
      </x:c>
      <x:c r="C7" s="38" t="n">
        <x:v>0.2</x:v>
      </x:c>
      <x:c r="D7" s="30" t="n">
        <x:f>'Facility Summary'!$B$12*C7</x:f>
        <x:v>2.8349664000000008</x:v>
      </x:c>
      <x:c r="E7" s="30" t="n">
        <x:f>'Facility Summary'!$B$8*C7</x:f>
        <x:v>35.56875</x:v>
      </x:c>
      <x:c r="F7" s="34" t="n">
        <x:f>D7*Assumptions!$C$23</x:f>
        <x:v>28.349664000000008</x:v>
      </x:c>
      <x:c r="G7" t="str">
        <x:v>Active-active</x:v>
      </x:c>
      <x:c r="H7" t="str">
        <x:v>Proximity to defense/industrial ecosystem.</x:v>
      </x:c>
    </x:row>
    <x:row r="8">
      <x:c r="A8" t="str">
        <x:v>Reserve / DR</x:v>
      </x:c>
      <x:c r="B8" t="str">
        <x:v>Strategic reserve</x:v>
      </x:c>
      <x:c r="C8" s="38" t="n">
        <x:v>0.1</x:v>
      </x:c>
      <x:c r="D8" s="30" t="n">
        <x:f>'Facility Summary'!$B$12*C8</x:f>
        <x:v>1.4174832000000004</x:v>
      </x:c>
      <x:c r="E8" s="30" t="n">
        <x:f>'Facility Summary'!$B$8*C8</x:f>
        <x:v>17.784375</x:v>
      </x:c>
      <x:c r="F8" s="34" t="n">
        <x:f>D8*Assumptions!$C$23</x:f>
        <x:v>14.174832000000004</x:v>
      </x:c>
      <x:c r="G8" t="str">
        <x:v>Warm reserve</x:v>
      </x:c>
      <x:c r="H8" t="str">
        <x:v>Expandable reserved capacity.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626eb4293784a7f"/>
  </x:tableParts>
</x:worksheet>
</file>